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apa Burguer\Dropbox\PC (2)\Documents\BERNARDO\DADOS\TREINAMENTO\"/>
    </mc:Choice>
  </mc:AlternateContent>
  <xr:revisionPtr revIDLastSave="0" documentId="13_ncr:1_{F8B746D6-1A63-485A-BB7F-5262655FE890}" xr6:coauthVersionLast="47" xr6:coauthVersionMax="47" xr10:uidLastSave="{00000000-0000-0000-0000-000000000000}"/>
  <bookViews>
    <workbookView xWindow="-120" yWindow="-120" windowWidth="21840" windowHeight="13140" tabRatio="66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9" i="3" l="1"/>
  <c r="E2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<sst xmlns="http://schemas.openxmlformats.org/spreadsheetml/2006/main" count="2021" uniqueCount="323">
  <si>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</si>
  <si>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</si>
  <si>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</si>
  <si>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</si>
  <si>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</si>
  <si>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</si>
  <si>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</si>
  <si>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</si>
  <si>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</si>
  <si>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</si>
  <si>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</si>
  <si>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</si>
  <si>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</si>
  <si>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</si>
  <si>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</si>
  <si>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</si>
  <si>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</si>
  <si>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</si>
  <si>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</si>
  <si>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</si>
  <si>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</si>
  <si>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</si>
  <si>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</si>
  <si>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</si>
  <si>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</si>
  <si>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</si>
  <si>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</si>
  <si>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</si>
  <si>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</si>
  <si>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</si>
  <si>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</si>
  <si>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</si>
  <si>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</si>
  <si>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</si>
  <si>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</si>
  <si>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</si>
  <si>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</si>
  <si>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</si>
  <si>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</si>
  <si>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</si>
  <si>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</si>
  <si>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</si>
  <si>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</si>
  <si>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</si>
  <si>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</si>
  <si>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</si>
  <si>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</si>
  <si>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</si>
  <si>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</si>
  <si>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</si>
  <si>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</si>
  <si>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</si>
  <si>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</si>
  <si>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</si>
  <si>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</si>
  <si>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</si>
  <si>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</si>
  <si>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</si>
  <si>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</si>
  <si>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</si>
  <si>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</si>
  <si>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</si>
  <si>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</si>
  <si>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</si>
  <si>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</si>
  <si>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</si>
  <si>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</si>
  <si>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</si>
  <si>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</si>
  <si>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</si>
  <si>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</si>
  <si>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</si>
  <si>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</si>
  <si>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</si>
  <si>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</si>
  <si>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</si>
  <si>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</si>
  <si>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</si>
  <si>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</si>
  <si>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</si>
  <si>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</si>
  <si>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</si>
  <si>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</si>
  <si>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</si>
  <si>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</si>
  <si>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</si>
  <si>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</si>
  <si>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</si>
  <si>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</si>
  <si>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</si>
  <si>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</si>
  <si>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</si>
  <si>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</si>
  <si>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</si>
  <si>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</si>
  <si>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</si>
  <si>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</si>
  <si>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</si>
  <si>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</si>
  <si>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</si>
  <si>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</si>
  <si>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</si>
  <si>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</si>
  <si>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</si>
  <si>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</si>
  <si>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</si>
  <si>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</si>
  <si>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</si>
  <si>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</si>
  <si>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</si>
  <si>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</si>
  <si>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</si>
  <si>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</si>
  <si>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</si>
  <si>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</si>
  <si>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</si>
  <si>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</si>
  <si>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</si>
  <si>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</si>
  <si>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</si>
  <si>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</si>
  <si>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</si>
  <si>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</si>
  <si>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</si>
  <si>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</si>
  <si>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</si>
  <si>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</si>
  <si>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</si>
  <si>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</si>
  <si>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</si>
  <si>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</si>
  <si>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</si>
  <si>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</si>
  <si>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</si>
  <si>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</si>
  <si>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</si>
  <si>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</si>
  <si>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</si>
  <si>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</si>
  <si>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</si>
  <si>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</si>
  <si>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</si>
  <si>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</si>
  <si>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</si>
  <si>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</si>
  <si>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</si>
  <si>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</si>
  <si>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</si>
  <si>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</si>
  <si>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</si>
  <si>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</si>
  <si>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</si>
  <si>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</si>
  <si>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</si>
  <si>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</si>
  <si>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</si>
  <si>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</si>
  <si>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</si>
  <si>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</si>
  <si>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</si>
  <si>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</si>
  <si>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</si>
  <si>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</si>
  <si>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</si>
  <si>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</si>
  <si>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</si>
  <si>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</si>
  <si>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</si>
  <si>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</si>
  <si>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</si>
  <si>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</si>
  <si>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</si>
  <si>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</si>
  <si>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</si>
  <si>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</si>
  <si>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</si>
  <si>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</si>
  <si>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</si>
  <si>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</si>
  <si>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</si>
  <si>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</si>
  <si>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</si>
  <si>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</si>
  <si>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</si>
  <si>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</si>
  <si>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</si>
  <si>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</si>
  <si>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</si>
  <si>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</si>
  <si>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</si>
  <si>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</si>
  <si>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</si>
  <si>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</si>
  <si>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</si>
  <si>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</si>
  <si>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</si>
  <si>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</si>
  <si>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</si>
  <si>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</si>
  <si>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</si>
  <si>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</si>
  <si>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</si>
  <si>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</si>
  <si>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</si>
  <si>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</si>
  <si>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</si>
  <si>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</si>
  <si>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</si>
  <si>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</si>
  <si>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</si>
  <si>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</si>
  <si>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</si>
  <si>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</si>
  <si>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</si>
  <si>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</si>
  <si>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</si>
  <si>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</si>
  <si>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</si>
  <si>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</si>
  <si>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</si>
  <si>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</si>
  <si>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</si>
  <si>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</si>
  <si>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</si>
  <si>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</si>
  <si>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</si>
  <si>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</si>
  <si>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</si>
  <si>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</si>
  <si>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</si>
  <si>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</si>
  <si>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</si>
  <si>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</si>
  <si>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</si>
  <si>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</si>
  <si>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</si>
  <si>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</si>
  <si>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</si>
  <si>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</si>
  <si>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</si>
  <si>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</si>
  <si>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</si>
  <si>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</si>
  <si>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</si>
  <si>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</si>
  <si>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</si>
  <si>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</si>
  <si>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</si>
  <si>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</si>
  <si>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</si>
  <si>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</si>
  <si>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</si>
  <si>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</si>
  <si>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</si>
  <si>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</si>
  <si>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</si>
  <si>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</si>
  <si>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</si>
  <si>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</si>
  <si>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</si>
  <si>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</si>
  <si>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</si>
  <si>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</si>
  <si>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</si>
  <si>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</si>
  <si>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</si>
  <si>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</si>
  <si>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</si>
  <si>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</si>
  <si>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</si>
  <si>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</si>
  <si>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</si>
  <si>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</si>
  <si>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</si>
  <si>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</si>
  <si>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</si>
  <si>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</si>
  <si>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</si>
  <si>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</si>
  <si>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</si>
  <si>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</si>
  <si>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</si>
  <si>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</si>
  <si>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</si>
  <si>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</si>
  <si>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</si>
  <si>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</si>
  <si>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</si>
  <si>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</si>
  <si>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</si>
  <si>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</si>
  <si>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</si>
  <si>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</si>
  <si>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</si>
  <si>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</si>
  <si>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</si>
  <si>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</si>
  <si>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</si>
  <si>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</si>
  <si>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</si>
  <si>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</si>
  <si>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</si>
  <si>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</si>
  <si>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</si>
  <si>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</si>
  <si>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</si>
  <si>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</si>
  <si>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</si>
  <si>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</si>
  <si>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</si>
  <si>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</si>
  <si>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</si>
  <si>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</si>
  <si>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</si>
  <si>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</si>
  <si>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</si>
  <si>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Negócios 1 - Faturamento total de plano anual (contendo assinaturas adicionais agregadas)?</t>
  </si>
  <si>
    <t>Pergunta de Negócios 2 - Faturamento total de vendas de planos anuais, separado por auto renovação e não é auto renovação?</t>
  </si>
  <si>
    <t>XBOX GAME PASS SUBSCRIPTIONS SALES</t>
  </si>
  <si>
    <t>Pergunta de Negócios 3 - Total de vendas de assinaturas de EA play</t>
  </si>
  <si>
    <t>Soma de EA Play Season Pass</t>
  </si>
  <si>
    <t>Pergunta de Negócios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</si>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</sst>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 Symbo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5D5C500-7E18-4373-98F8-A120D2F066BF}">
      <tableStyleElement type="wholeTable" dxfId="15"/>
      <tableStyleElement type="headerRow" dxfId="14"/>
    </tableStyle>
  </tableStyles>
  <colors>
    <mruColors>
      <color rgb="FF22C55E"/>
      <color rgb="FF9BC848"/>
      <color rgb="FF5BF6A8"/>
      <color rgb="FF2AE6B1"/>
      <color rgb="FFE8E6E9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1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C-4EB4-B3E7-1ADB478D4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3633904"/>
        <c:axId val="353619504"/>
      </c:barChart>
      <c:catAx>
        <c:axId val="35363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3619504"/>
        <c:crosses val="autoZero"/>
        <c:auto val="1"/>
        <c:lblAlgn val="ctr"/>
        <c:lblOffset val="100"/>
        <c:noMultiLvlLbl val="0"/>
      </c:catAx>
      <c:valAx>
        <c:axId val="35361950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36339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116416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116416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10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1767448</xdr:colOff>
      <xdr:row>1</xdr:row>
      <xdr:rowOff>78862</xdr:rowOff>
    </xdr:from>
    <xdr:to>
      <xdr:col>2</xdr:col>
      <xdr:colOff>359710</xdr:colOff>
      <xdr:row>2</xdr:row>
      <xdr:rowOff>233644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CCCF0B-16FF-4D72-9BF5-2D639A9AA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6" t="17471" r="71947" b="18469"/>
        <a:stretch>
          <a:fillRect/>
        </a:stretch>
      </xdr:blipFill>
      <xdr:spPr>
        <a:xfrm>
          <a:off x="1767448" y="291774"/>
          <a:ext cx="642938" cy="6478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207169</xdr:rowOff>
    </xdr:from>
    <xdr:to>
      <xdr:col>1</xdr:col>
      <xdr:colOff>1</xdr:colOff>
      <xdr:row>16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0CAE85BD-2A75-45BE-B6DE-BD10688275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1864519"/>
              <a:ext cx="1676399" cy="1878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84743</xdr:colOff>
      <xdr:row>5</xdr:row>
      <xdr:rowOff>383501</xdr:rowOff>
    </xdr:from>
    <xdr:to>
      <xdr:col>8</xdr:col>
      <xdr:colOff>340915</xdr:colOff>
      <xdr:row>12</xdr:row>
      <xdr:rowOff>92595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4E32D710-CF40-8428-633D-F9FFC7F10F93}"/>
            </a:ext>
          </a:extLst>
        </xdr:cNvPr>
        <xdr:cNvGrpSpPr/>
      </xdr:nvGrpSpPr>
      <xdr:grpSpPr>
        <a:xfrm>
          <a:off x="2135419" y="1784236"/>
          <a:ext cx="3886878" cy="1524447"/>
          <a:chOff x="2142143" y="1569643"/>
          <a:chExt cx="3913772" cy="152949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C84CEE49-6EC1-A9AC-1503-ADF62CB7F4F8}"/>
              </a:ext>
            </a:extLst>
          </xdr:cNvPr>
          <xdr:cNvGrpSpPr/>
        </xdr:nvGrpSpPr>
        <xdr:grpSpPr>
          <a:xfrm>
            <a:off x="2142143" y="1569643"/>
            <a:ext cx="3913772" cy="1511735"/>
            <a:chOff x="2145151" y="1570395"/>
            <a:chExt cx="3925803" cy="1515204"/>
          </a:xfrm>
        </xdr:grpSpPr>
        <xdr:sp macro="" textlink="">
          <xdr:nvSpPr>
            <xdr:cNvPr id="3" name="Retângulo: Cantos Arredondados 2">
              <a:extLst>
                <a:ext uri="{FF2B5EF4-FFF2-40B4-BE49-F238E27FC236}">
                  <a16:creationId xmlns:a16="http://schemas.microsoft.com/office/drawing/2014/main" id="{F16ABDFA-D0A7-6AE7-F340-D5E7ADAE35E0}"/>
                </a:ext>
              </a:extLst>
            </xdr:cNvPr>
            <xdr:cNvSpPr/>
          </xdr:nvSpPr>
          <xdr:spPr>
            <a:xfrm>
              <a:off x="2149420" y="1570395"/>
              <a:ext cx="3917264" cy="1515204"/>
            </a:xfrm>
            <a:prstGeom prst="roundRect">
              <a:avLst>
                <a:gd name="adj" fmla="val 137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F8129B22-0CD3-FB61-8AA7-53F845297FED}"/>
                </a:ext>
              </a:extLst>
            </xdr:cNvPr>
            <xdr:cNvSpPr/>
          </xdr:nvSpPr>
          <xdr:spPr>
            <a:xfrm>
              <a:off x="2145151" y="1570395"/>
              <a:ext cx="3925803" cy="335403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TOTAL SUBSCRIPTION EA SEASON PASS</a:t>
              </a:r>
            </a:p>
          </xdr:txBody>
        </xdr:sp>
      </xdr:grpSp>
      <xdr:sp macro="" textlink="C̳álculos!E26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2A59E533-CFAC-4D0B-9C01-A0FAC5801FCB}"/>
              </a:ext>
            </a:extLst>
          </xdr:cNvPr>
          <xdr:cNvSpPr/>
        </xdr:nvSpPr>
        <xdr:spPr>
          <a:xfrm>
            <a:off x="3559499" y="2180074"/>
            <a:ext cx="2381946" cy="61970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5B3C074-94BF-45B4-9504-19D44F4433CE}" type="TxLink">
              <a:rPr lang="en-US" sz="2800" b="1" i="0" u="none" strike="noStrike">
                <a:solidFill>
                  <a:srgbClr val="22C55E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pPr algn="ctr"/>
              <a:t>R$ 1.350,00</a:t>
            </a:fld>
            <a:endParaRPr lang="pt-BR" sz="2800" b="1">
              <a:solidFill>
                <a:srgbClr val="22C55E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24F9EEE-E5DA-43E9-9C43-A2AD72E4AB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7529" y="1880723"/>
            <a:ext cx="1219461" cy="1218410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418117</xdr:colOff>
      <xdr:row>5</xdr:row>
      <xdr:rowOff>392378</xdr:rowOff>
    </xdr:from>
    <xdr:to>
      <xdr:col>18</xdr:col>
      <xdr:colOff>19049</xdr:colOff>
      <xdr:row>12</xdr:row>
      <xdr:rowOff>83717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8FE3013-900E-91CD-55FC-4880D5CA0389}"/>
            </a:ext>
          </a:extLst>
        </xdr:cNvPr>
        <xdr:cNvGrpSpPr/>
      </xdr:nvGrpSpPr>
      <xdr:grpSpPr>
        <a:xfrm>
          <a:off x="6704617" y="1793113"/>
          <a:ext cx="4878903" cy="1506692"/>
          <a:chOff x="6742717" y="1569643"/>
          <a:chExt cx="4915882" cy="1511735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00CC9478-2BCC-E4D1-3E2B-EDF7C3E600F0}"/>
              </a:ext>
            </a:extLst>
          </xdr:cNvPr>
          <xdr:cNvGrpSpPr/>
        </xdr:nvGrpSpPr>
        <xdr:grpSpPr>
          <a:xfrm>
            <a:off x="6742717" y="1569643"/>
            <a:ext cx="4592033" cy="1511735"/>
            <a:chOff x="2145151" y="1570395"/>
            <a:chExt cx="3925803" cy="1515204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CF6B457C-561B-1564-5A2A-9D6F86096F9B}"/>
                </a:ext>
              </a:extLst>
            </xdr:cNvPr>
            <xdr:cNvSpPr/>
          </xdr:nvSpPr>
          <xdr:spPr>
            <a:xfrm>
              <a:off x="2149420" y="1570395"/>
              <a:ext cx="3917264" cy="1515204"/>
            </a:xfrm>
            <a:prstGeom prst="roundRect">
              <a:avLst>
                <a:gd name="adj" fmla="val 137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0F022FA9-7A18-AF99-6ABE-8400B57A7252}"/>
                </a:ext>
              </a:extLst>
            </xdr:cNvPr>
            <xdr:cNvSpPr/>
          </xdr:nvSpPr>
          <xdr:spPr>
            <a:xfrm>
              <a:off x="2145151" y="1570395"/>
              <a:ext cx="3925803" cy="335403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chemeClr val="bg1"/>
                  </a:solidFill>
                  <a:latin typeface="Segoe UI Light" panose="020B0502040204020203" pitchFamily="34" charset="0"/>
                  <a:cs typeface="Segoe UI Light" panose="020B0502040204020203" pitchFamily="34" charset="0"/>
                </a:rPr>
                <a:t>TOTAL SUBSCRIPTION MINECRAFT SEASON PASS</a:t>
              </a:r>
            </a:p>
          </xdr:txBody>
        </xdr:sp>
      </xdr:grpSp>
      <xdr:sp macro="" textlink="C̳álculos!E39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EA164A52-653D-BD9E-320F-120FF90A1512}"/>
              </a:ext>
            </a:extLst>
          </xdr:cNvPr>
          <xdr:cNvSpPr/>
        </xdr:nvSpPr>
        <xdr:spPr>
          <a:xfrm>
            <a:off x="8055298" y="2180074"/>
            <a:ext cx="3603301" cy="61970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AA41853-6433-4C05-97DD-96A0CBDDF26B}" type="TxLink">
              <a:rPr lang="en-US" sz="2800" b="1" i="0" u="none" strike="noStrike">
                <a:solidFill>
                  <a:srgbClr val="22C55E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R$ 1.800,00</a:t>
            </a:fld>
            <a:endParaRPr lang="pt-BR" sz="2800" b="1">
              <a:solidFill>
                <a:srgbClr val="22C55E"/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858047C0-46AA-4436-800F-5516192D92BE}"/>
              </a:ext>
            </a:extLst>
          </xdr:cNvPr>
          <xdr:cNvGrpSpPr/>
        </xdr:nvGrpSpPr>
        <xdr:grpSpPr>
          <a:xfrm>
            <a:off x="6877050" y="2113690"/>
            <a:ext cx="1465438" cy="738525"/>
            <a:chOff x="3495675" y="5400674"/>
            <a:chExt cx="1465438" cy="738525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5BE8FDB3-60B6-F965-3CA2-20DC656B43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25368" cy="576536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F7BCA100-CE30-8CE9-222E-AF1DAAB656D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465438" cy="24326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56168</xdr:colOff>
      <xdr:row>15</xdr:row>
      <xdr:rowOff>19309</xdr:rowOff>
    </xdr:from>
    <xdr:to>
      <xdr:col>17</xdr:col>
      <xdr:colOff>323850</xdr:colOff>
      <xdr:row>30</xdr:row>
      <xdr:rowOff>152659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89957A3-2505-EC94-0BB6-2E432EAC68A1}"/>
            </a:ext>
          </a:extLst>
        </xdr:cNvPr>
        <xdr:cNvGrpSpPr/>
      </xdr:nvGrpSpPr>
      <xdr:grpSpPr>
        <a:xfrm>
          <a:off x="2106844" y="3806897"/>
          <a:ext cx="9176359" cy="2990850"/>
          <a:chOff x="2106844" y="3806897"/>
          <a:chExt cx="9176359" cy="299085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EA88BD8-08F4-0606-ABD5-29B94AAB199C}"/>
              </a:ext>
            </a:extLst>
          </xdr:cNvPr>
          <xdr:cNvGrpSpPr/>
        </xdr:nvGrpSpPr>
        <xdr:grpSpPr>
          <a:xfrm>
            <a:off x="2126385" y="3806897"/>
            <a:ext cx="9137277" cy="2990850"/>
            <a:chOff x="2162174" y="1514475"/>
            <a:chExt cx="5057775" cy="299085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193B8647-DB86-497D-ECAB-8219920120EB}"/>
                </a:ext>
              </a:extLst>
            </xdr:cNvPr>
            <xdr:cNvSpPr/>
          </xdr:nvSpPr>
          <xdr:spPr>
            <a:xfrm>
              <a:off x="2162174" y="1514475"/>
              <a:ext cx="5057775" cy="2990850"/>
            </a:xfrm>
            <a:prstGeom prst="roundRect">
              <a:avLst>
                <a:gd name="adj" fmla="val 679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B18CF125-3282-4140-B177-A4BBF264AC26}"/>
                </a:ext>
              </a:extLst>
            </xdr:cNvPr>
            <xdr:cNvGraphicFramePr>
              <a:graphicFrameLocks/>
            </xdr:cNvGraphicFramePr>
          </xdr:nvGraphicFramePr>
          <xdr:xfrm>
            <a:off x="2409824" y="1683544"/>
            <a:ext cx="4586288" cy="274558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E65DC900-7CBA-4F7F-AEAE-4F4011CA028C}"/>
              </a:ext>
            </a:extLst>
          </xdr:cNvPr>
          <xdr:cNvSpPr/>
        </xdr:nvSpPr>
        <xdr:spPr>
          <a:xfrm>
            <a:off x="2106844" y="3806897"/>
            <a:ext cx="9176359" cy="334635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TOTAL SUBSCRIPTION XBOX GAME PASS</a:t>
            </a:r>
          </a:p>
        </xdr:txBody>
      </xdr:sp>
    </xdr:grpSp>
    <xdr:clientData/>
  </xdr:twoCellAnchor>
  <xdr:twoCellAnchor>
    <xdr:from>
      <xdr:col>0</xdr:col>
      <xdr:colOff>221036</xdr:colOff>
      <xdr:row>1</xdr:row>
      <xdr:rowOff>111359</xdr:rowOff>
    </xdr:from>
    <xdr:to>
      <xdr:col>0</xdr:col>
      <xdr:colOff>840441</xdr:colOff>
      <xdr:row>2</xdr:row>
      <xdr:rowOff>201146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EBFAF513-7A32-43AC-8995-0CFBB87D99C5}"/>
            </a:ext>
          </a:extLst>
        </xdr:cNvPr>
        <xdr:cNvSpPr/>
      </xdr:nvSpPr>
      <xdr:spPr>
        <a:xfrm>
          <a:off x="221036" y="324271"/>
          <a:ext cx="619405" cy="58284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11207</xdr:colOff>
      <xdr:row>2</xdr:row>
      <xdr:rowOff>369794</xdr:rowOff>
    </xdr:from>
    <xdr:to>
      <xdr:col>0</xdr:col>
      <xdr:colOff>1792941</xdr:colOff>
      <xdr:row>4</xdr:row>
      <xdr:rowOff>78442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401A0B46-DD7A-812F-8DB4-932EF48A3321}"/>
            </a:ext>
          </a:extLst>
        </xdr:cNvPr>
        <xdr:cNvSpPr/>
      </xdr:nvSpPr>
      <xdr:spPr>
        <a:xfrm>
          <a:off x="11207" y="1075765"/>
          <a:ext cx="1781734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&gt; Bem</a:t>
          </a:r>
          <a:r>
            <a:rPr lang="pt-BR" sz="1400" baseline="0"/>
            <a:t> vinda,  </a:t>
          </a:r>
          <a:r>
            <a:rPr lang="pt-BR" sz="1400" baseline="0">
              <a:latin typeface="Segoe UI Light" panose="020B0502040204020203" pitchFamily="34" charset="0"/>
              <a:cs typeface="Segoe UI Light" panose="020B0502040204020203" pitchFamily="34" charset="0"/>
            </a:rPr>
            <a:t>Isabela</a:t>
          </a:r>
          <a:endParaRPr lang="pt-BR" sz="14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62754</xdr:colOff>
      <xdr:row>2</xdr:row>
      <xdr:rowOff>488576</xdr:rowOff>
    </xdr:from>
    <xdr:to>
      <xdr:col>13</xdr:col>
      <xdr:colOff>67236</xdr:colOff>
      <xdr:row>5</xdr:row>
      <xdr:rowOff>96371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F38F7A92-BECC-442B-9FEE-69F5152CD031}"/>
            </a:ext>
          </a:extLst>
        </xdr:cNvPr>
        <xdr:cNvSpPr/>
      </xdr:nvSpPr>
      <xdr:spPr>
        <a:xfrm>
          <a:off x="2113430" y="1194547"/>
          <a:ext cx="6492688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Calculation</a:t>
          </a:r>
          <a:r>
            <a:rPr lang="pt-BR" sz="1200" baseline="0">
              <a:solidFill>
                <a:schemeClr val="bg2">
                  <a:lumMod val="50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 period : 01/01/2024 - 31/12/2024  |  Update date : 25/12/2024  09:00:00 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pa Burguer" refreshedDate="46285.986597685187" createdVersion="8" refreshedVersion="8" minRefreshableVersion="3" recordCount="295" xr:uid="{65E5032B-1C98-4030-B207-2F35739478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19296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49A9F6-E8B3-4740-A546-F5A2A73AE4A8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5:C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 sumSubtotal="1" countASubtotal="1">
      <items count="5">
        <item x="1"/>
        <item x="2"/>
        <item x="0"/>
        <item t="sum"/>
        <item t="countA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 sumSubtotal="1" countASubtotal="1">
      <items count="5">
        <item h="1" x="1"/>
        <item x="0"/>
        <item h="1" x="2"/>
        <item t="sum"/>
        <item t="countA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A504E-A0B6-4871-B98B-C14B9FC2C6FF}" name="tbl_ea_season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 sumSubtotal="1" countASubtotal="1">
      <items count="5">
        <item x="1"/>
        <item x="2"/>
        <item x="0"/>
        <item t="sum"/>
        <item t="countA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 sumSubtotal="1" countASubtotal="1">
      <items count="5">
        <item h="1" x="1"/>
        <item x="0"/>
        <item h="1" x="2"/>
        <item t="sum"/>
        <item t="countA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1E408-C58D-4B6F-B7C2-AB0E0833ADB7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242DF39-C5D7-4508-B542-CF90B252B429}" sourceName="Subscription Type">
  <pivotTables>
    <pivotTable tabId="3" name="tbl_annual_total"/>
    <pivotTable tabId="3" name="tbl_ea_season"/>
    <pivotTable tabId="3" name="Tabela dinâmica2"/>
  </pivotTables>
  <data>
    <tabular pivotCacheId="83192968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6EFAF82-611F-4BBD-9E25-6D2ED0180781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151" zoomScale="130" zoomScaleNormal="130" workbookViewId="0">
      <selection activeCell="B5" sqref="B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7.2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5.7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9"/>
  <sheetViews>
    <sheetView showGridLines="0" topLeftCell="A19" workbookViewId="0">
      <selection activeCell="B5" sqref="B5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9.140625" bestFit="1" customWidth="1"/>
    <col min="6" max="6" width="27.7109375" bestFit="1" customWidth="1"/>
    <col min="7" max="7" width="5.42578125" customWidth="1"/>
    <col min="8" max="8" width="21.140625" bestFit="1" customWidth="1"/>
    <col min="9" max="10" width="35.140625" bestFit="1" customWidth="1"/>
    <col min="11" max="14" width="9.7109375" bestFit="1" customWidth="1"/>
    <col min="15" max="15" width="15.5703125" bestFit="1" customWidth="1"/>
    <col min="16" max="16" width="12.140625" bestFit="1" customWidth="1"/>
  </cols>
  <sheetData>
    <row r="6" spans="2:3" x14ac:dyDescent="0.25">
      <c r="B6" t="s">
        <v>316</v>
      </c>
    </row>
    <row r="7" spans="2:3" x14ac:dyDescent="0.25">
      <c r="B7" t="s">
        <v>317</v>
      </c>
    </row>
    <row r="9" spans="2:3" x14ac:dyDescent="0.25">
      <c r="B9" s="12" t="s">
        <v>16</v>
      </c>
      <c r="C9" t="s">
        <v>20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23</v>
      </c>
      <c r="C12" s="14">
        <v>2824</v>
      </c>
    </row>
    <row r="13" spans="2:3" x14ac:dyDescent="0.25">
      <c r="B13" s="13" t="s">
        <v>19</v>
      </c>
      <c r="C13" s="14">
        <v>747</v>
      </c>
    </row>
    <row r="14" spans="2:3" x14ac:dyDescent="0.25">
      <c r="B14" s="13" t="s">
        <v>314</v>
      </c>
      <c r="C14" s="14">
        <v>3571</v>
      </c>
    </row>
    <row r="17" spans="2:5" x14ac:dyDescent="0.25">
      <c r="B17" t="s">
        <v>319</v>
      </c>
    </row>
    <row r="20" spans="2:5" x14ac:dyDescent="0.25">
      <c r="B20" s="12" t="s">
        <v>16</v>
      </c>
      <c r="C20" t="s">
        <v>20</v>
      </c>
    </row>
    <row r="22" spans="2:5" x14ac:dyDescent="0.25">
      <c r="B22" s="12" t="s">
        <v>313</v>
      </c>
      <c r="C22" t="s">
        <v>320</v>
      </c>
    </row>
    <row r="23" spans="2:5" x14ac:dyDescent="0.25">
      <c r="B23" s="13" t="s">
        <v>22</v>
      </c>
      <c r="C23" s="16">
        <v>0</v>
      </c>
    </row>
    <row r="24" spans="2:5" x14ac:dyDescent="0.25">
      <c r="B24" s="13" t="s">
        <v>26</v>
      </c>
      <c r="C24" s="16">
        <v>0</v>
      </c>
    </row>
    <row r="25" spans="2:5" x14ac:dyDescent="0.25">
      <c r="B25" s="13" t="s">
        <v>18</v>
      </c>
      <c r="C25" s="16">
        <v>1350</v>
      </c>
    </row>
    <row r="26" spans="2:5" x14ac:dyDescent="0.25">
      <c r="B26" s="13" t="s">
        <v>314</v>
      </c>
      <c r="C26" s="16">
        <v>1350</v>
      </c>
      <c r="E26" s="17">
        <f>GETPIVOTDATA("EA Play Season Pass
Price",$B$22)</f>
        <v>1350</v>
      </c>
    </row>
    <row r="30" spans="2:5" x14ac:dyDescent="0.25">
      <c r="B30" t="s">
        <v>321</v>
      </c>
    </row>
    <row r="33" spans="2:5" x14ac:dyDescent="0.25">
      <c r="B33" s="12" t="s">
        <v>16</v>
      </c>
      <c r="C33" t="s">
        <v>20</v>
      </c>
    </row>
    <row r="35" spans="2:5" x14ac:dyDescent="0.25">
      <c r="B35" s="12" t="s">
        <v>313</v>
      </c>
      <c r="C35" t="s">
        <v>322</v>
      </c>
    </row>
    <row r="36" spans="2:5" x14ac:dyDescent="0.25">
      <c r="B36" s="13" t="s">
        <v>22</v>
      </c>
      <c r="C36" s="14">
        <v>0</v>
      </c>
    </row>
    <row r="37" spans="2:5" x14ac:dyDescent="0.25">
      <c r="B37" s="13" t="s">
        <v>26</v>
      </c>
      <c r="C37" s="14">
        <v>900</v>
      </c>
    </row>
    <row r="38" spans="2:5" x14ac:dyDescent="0.25">
      <c r="B38" s="13" t="s">
        <v>18</v>
      </c>
      <c r="C38" s="14">
        <v>900</v>
      </c>
    </row>
    <row r="39" spans="2:5" x14ac:dyDescent="0.25">
      <c r="B39" s="13" t="s">
        <v>314</v>
      </c>
      <c r="C39" s="14">
        <v>1800</v>
      </c>
      <c r="E39" s="17">
        <f>GETPIVOTDATA("Minecraft Season Pass Price",$B$35)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8"/>
  <sheetViews>
    <sheetView showGridLines="0" showRowColHeaders="0" tabSelected="1" zoomScale="85" zoomScaleNormal="85" workbookViewId="0">
      <selection activeCell="B19" sqref="B19"/>
    </sheetView>
  </sheetViews>
  <sheetFormatPr defaultRowHeight="15" x14ac:dyDescent="0.25"/>
  <cols>
    <col min="1" max="1" width="27.28515625" style="4" customWidth="1"/>
    <col min="2" max="2" width="3.5703125" style="7" customWidth="1"/>
    <col min="3" max="10" width="9.140625" style="7"/>
    <col min="11" max="11" width="9.140625" style="7" customWidth="1"/>
    <col min="12" max="12" width="6.5703125" style="7" customWidth="1"/>
    <col min="13" max="16" width="9.140625" style="7"/>
    <col min="17" max="17" width="9.140625" style="7" customWidth="1"/>
    <col min="18" max="16384" width="9.140625" style="7"/>
  </cols>
  <sheetData>
    <row r="1" spans="1:17" customFormat="1" ht="16.5" customHeight="1" x14ac:dyDescent="0.25">
      <c r="A1" s="4"/>
    </row>
    <row r="2" spans="1:17" customFormat="1" ht="39" customHeight="1" thickBot="1" x14ac:dyDescent="0.5">
      <c r="A2" s="4"/>
      <c r="C2" s="18" t="s">
        <v>318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customFormat="1" ht="39" customHeight="1" thickTop="1" x14ac:dyDescent="0.25">
      <c r="A3" s="4"/>
      <c r="B3" s="15"/>
    </row>
    <row r="4" spans="1:17" ht="8.25" customHeight="1" x14ac:dyDescent="0.25"/>
    <row r="5" spans="1:17" ht="7.5" customHeight="1" x14ac:dyDescent="0.25"/>
    <row r="6" spans="1:17" ht="40.5" customHeight="1" x14ac:dyDescent="0.25"/>
    <row r="7" spans="1:17" ht="9.75" customHeight="1" x14ac:dyDescent="0.25"/>
    <row r="8" spans="1:17" ht="33" customHeight="1" x14ac:dyDescent="0.25"/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19483571-f922-4e8e-9c1c-26f0a2252132"/>
    <ds:schemaRef ds:uri="851b35d3-0456-4d6a-bc2f-da927e91d1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Luiz Bernardo</cp:lastModifiedBy>
  <dcterms:created xsi:type="dcterms:W3CDTF">2024-12-19T13:13:10Z</dcterms:created>
  <dcterms:modified xsi:type="dcterms:W3CDTF">2026-09-22T18:51:18Z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